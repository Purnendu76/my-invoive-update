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uto\Downloads\"/>
    </mc:Choice>
  </mc:AlternateContent>
  <xr:revisionPtr revIDLastSave="0" documentId="13_ncr:1_{9D4E4FD5-F93A-40C7-9094-889166F7FD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Sheet1!$A$2:$AE$12</definedName>
  </definedNames>
  <calcPr calcId="191029"/>
  <extLst>
    <ext uri="GoogleSheetsCustomDataVersion2">
      <go:sheetsCustomData xmlns:go="http://customooxmlschemas.google.com/" r:id="rId5" roundtripDataChecksum="vjK77bRGQ8PWWFd3ETGWb8uFm9g6GHob4z69z2bPD8U="/>
    </ext>
  </extLst>
</workbook>
</file>

<file path=xl/calcChain.xml><?xml version="1.0" encoding="utf-8"?>
<calcChain xmlns="http://schemas.openxmlformats.org/spreadsheetml/2006/main">
  <c r="U4" i="1" l="1"/>
  <c r="U5" i="1"/>
  <c r="U6" i="1"/>
  <c r="U8" i="1"/>
  <c r="U9" i="1"/>
  <c r="U10" i="1"/>
  <c r="U11" i="1"/>
  <c r="U12" i="1"/>
  <c r="U13" i="1"/>
  <c r="U3" i="1"/>
  <c r="Q12" i="1"/>
  <c r="L12" i="1"/>
  <c r="X13" i="1" l="1"/>
  <c r="W13" i="1"/>
  <c r="V13" i="1"/>
  <c r="T13" i="1"/>
  <c r="P13" i="1"/>
  <c r="J13" i="1"/>
  <c r="O13" i="1" s="1"/>
  <c r="Q11" i="1"/>
  <c r="L11" i="1"/>
  <c r="R11" i="1" s="1"/>
  <c r="Q10" i="1"/>
  <c r="L10" i="1"/>
  <c r="R10" i="1" s="1"/>
  <c r="Q9" i="1"/>
  <c r="L9" i="1"/>
  <c r="R9" i="1" s="1"/>
  <c r="Q8" i="1"/>
  <c r="L8" i="1"/>
  <c r="R8" i="1" s="1"/>
  <c r="L7" i="1"/>
  <c r="Q6" i="1"/>
  <c r="L6" i="1"/>
  <c r="Q5" i="1"/>
  <c r="L5" i="1"/>
  <c r="R5" i="1" s="1"/>
  <c r="Q4" i="1"/>
  <c r="L4" i="1"/>
  <c r="R4" i="1" s="1"/>
  <c r="Q3" i="1"/>
  <c r="L3" i="1"/>
  <c r="Q13" i="1" l="1"/>
  <c r="M9" i="1"/>
  <c r="N9" i="1" s="1"/>
  <c r="M5" i="1"/>
  <c r="N5" i="1" s="1"/>
  <c r="M8" i="1"/>
  <c r="N8" i="1" s="1"/>
  <c r="L13" i="1"/>
  <c r="R3" i="1"/>
  <c r="M11" i="1"/>
  <c r="N11" i="1" s="1"/>
  <c r="M6" i="1"/>
  <c r="N6" i="1" s="1"/>
  <c r="R6" i="1"/>
  <c r="R13" i="1"/>
  <c r="M10" i="1"/>
  <c r="N10" i="1" s="1"/>
  <c r="M4" i="1"/>
  <c r="N4" i="1" s="1"/>
  <c r="M3" i="1"/>
  <c r="Y5" i="1"/>
  <c r="Z5" i="1" s="1"/>
  <c r="S6" i="1"/>
  <c r="Y6" i="1" s="1"/>
  <c r="Z6" i="1" s="1"/>
  <c r="S8" i="1"/>
  <c r="Y8" i="1" s="1"/>
  <c r="Z8" i="1" s="1"/>
  <c r="AD8" i="1" s="1"/>
  <c r="M7" i="1"/>
  <c r="S5" i="1"/>
  <c r="S9" i="1" l="1"/>
  <c r="Y9" i="1" s="1"/>
  <c r="Z9" i="1" s="1"/>
  <c r="AD9" i="1" s="1"/>
  <c r="S11" i="1"/>
  <c r="Y11" i="1" s="1"/>
  <c r="Z11" i="1" s="1"/>
  <c r="AD11" i="1" s="1"/>
  <c r="AB6" i="1"/>
  <c r="AD6" i="1" s="1"/>
  <c r="S4" i="1"/>
  <c r="Y4" i="1" s="1"/>
  <c r="Z4" i="1" s="1"/>
  <c r="AB5" i="1"/>
  <c r="AD5" i="1" s="1"/>
  <c r="N3" i="1"/>
  <c r="S3" i="1"/>
  <c r="Y3" i="1" s="1"/>
  <c r="S10" i="1"/>
  <c r="Y10" i="1" s="1"/>
  <c r="Z10" i="1" s="1"/>
  <c r="AD10" i="1" s="1"/>
  <c r="M13" i="1"/>
  <c r="N13" i="1" s="1"/>
  <c r="Z3" i="1"/>
  <c r="AB3" i="1" s="1"/>
  <c r="S13" i="1"/>
  <c r="AB4" i="1" l="1"/>
  <c r="AD4" i="1" s="1"/>
  <c r="Y13" i="1"/>
  <c r="Z13" i="1"/>
  <c r="AD3" i="1"/>
  <c r="R12" i="1"/>
  <c r="AB13" i="1" l="1"/>
  <c r="AD13" i="1"/>
  <c r="M12" i="1"/>
  <c r="N12" i="1" l="1"/>
  <c r="S12" i="1"/>
  <c r="Y12" i="1" s="1"/>
  <c r="Z12" i="1"/>
  <c r="AD12" i="1" s="1"/>
</calcChain>
</file>

<file path=xl/sharedStrings.xml><?xml version="1.0" encoding="utf-8"?>
<sst xmlns="http://schemas.openxmlformats.org/spreadsheetml/2006/main" count="143" uniqueCount="103">
  <si>
    <t>Automatic</t>
  </si>
  <si>
    <t>Drop down for selection</t>
  </si>
  <si>
    <t>Drop Down For Selection</t>
  </si>
  <si>
    <t>To be entered by the user</t>
  </si>
  <si>
    <t>Calendar/Or To be Entered by the user But with conditional logic</t>
  </si>
  <si>
    <t>Drop Down For selection</t>
  </si>
  <si>
    <t>J*K (Automatic)</t>
  </si>
  <si>
    <t>J+L (Automatic)</t>
  </si>
  <si>
    <t xml:space="preserve">O+Q+R+S+T+U+V+W+X (Automatic)  </t>
  </si>
  <si>
    <t>M3-Y3 (Automatic)</t>
  </si>
  <si>
    <t>To be entered by the user but with conditional logic (PAYMENT DATE SHOULD BE SMALLER THAN INVOICE DATE AND SUBMISSION DATE)</t>
  </si>
  <si>
    <t>Z-AB (Automatic)</t>
  </si>
  <si>
    <t>Sl. No.</t>
  </si>
  <si>
    <t>Project</t>
  </si>
  <si>
    <t>Mode of Project</t>
  </si>
  <si>
    <t>State</t>
  </si>
  <si>
    <t>Bill Category</t>
  </si>
  <si>
    <t>Milestone</t>
  </si>
  <si>
    <t>Invoice Number</t>
  </si>
  <si>
    <t>Invoice Date</t>
  </si>
  <si>
    <t>Submission Date</t>
  </si>
  <si>
    <t>Invoice Basic Amount</t>
  </si>
  <si>
    <t>GST Percentage Applicable</t>
  </si>
  <si>
    <t>Invoice GST Amount</t>
  </si>
  <si>
    <t>Total Amount</t>
  </si>
  <si>
    <t>Passed Amount by Client</t>
  </si>
  <si>
    <t>Retention</t>
  </si>
  <si>
    <t>GST Withheld</t>
  </si>
  <si>
    <t>TDS</t>
  </si>
  <si>
    <t>GST TDS</t>
  </si>
  <si>
    <t>BOCW</t>
  </si>
  <si>
    <t>Low Depth Deduction</t>
  </si>
  <si>
    <t>LD</t>
  </si>
  <si>
    <t>SLA Penalty</t>
  </si>
  <si>
    <t>Penalty</t>
  </si>
  <si>
    <t>Other Deduction</t>
  </si>
  <si>
    <t>Total Deduction</t>
  </si>
  <si>
    <t>Net Payable</t>
  </si>
  <si>
    <t>Status</t>
  </si>
  <si>
    <t>Amount Paid By Client</t>
  </si>
  <si>
    <t>Payment Date</t>
  </si>
  <si>
    <t>Remarks</t>
  </si>
  <si>
    <t>NFS</t>
  </si>
  <si>
    <t>Back To Back</t>
  </si>
  <si>
    <t>West Bengal</t>
  </si>
  <si>
    <t>Service</t>
  </si>
  <si>
    <t>Paid</t>
  </si>
  <si>
    <t>GAIL</t>
  </si>
  <si>
    <t>Direct</t>
  </si>
  <si>
    <t>Delhi</t>
  </si>
  <si>
    <t>Supply</t>
  </si>
  <si>
    <t>BGCL</t>
  </si>
  <si>
    <t>Bihar</t>
  </si>
  <si>
    <t>ROW</t>
  </si>
  <si>
    <t>Cancelled</t>
  </si>
  <si>
    <t>STP</t>
  </si>
  <si>
    <t>MP</t>
  </si>
  <si>
    <t>AMC</t>
  </si>
  <si>
    <t>Under process</t>
  </si>
  <si>
    <t>Bharat Net</t>
  </si>
  <si>
    <t xml:space="preserve">Kerala </t>
  </si>
  <si>
    <t>Restoration Service</t>
  </si>
  <si>
    <t>Credit Note Issued</t>
  </si>
  <si>
    <t>Restoration Supply</t>
  </si>
  <si>
    <t>Sikkim</t>
  </si>
  <si>
    <t>Restoration Row</t>
  </si>
  <si>
    <t>NFS AMC</t>
  </si>
  <si>
    <t>Jharkhand</t>
  </si>
  <si>
    <t>Spares</t>
  </si>
  <si>
    <t>Andaman</t>
  </si>
  <si>
    <t>Training</t>
  </si>
  <si>
    <t>Total</t>
  </si>
  <si>
    <t>_ims_project</t>
  </si>
  <si>
    <t>_ims_project_mode</t>
  </si>
  <si>
    <t>_ims_location</t>
  </si>
  <si>
    <t>_invoice_bill_category</t>
  </si>
  <si>
    <t>_invoice_milestone</t>
  </si>
  <si>
    <t>(this will be the post title)</t>
  </si>
  <si>
    <t>_invoice_date</t>
  </si>
  <si>
    <t>_submission_date</t>
  </si>
  <si>
    <t>_invoice_basic_amount</t>
  </si>
  <si>
    <t>_invoice_gst_percent</t>
  </si>
  <si>
    <t>_invoice_gst_amount</t>
  </si>
  <si>
    <t>_invoice_total_amount</t>
  </si>
  <si>
    <t>_invoice_client_amount</t>
  </si>
  <si>
    <t>_invoice_retention_amount</t>
  </si>
  <si>
    <t>_invoice_gst_withheld</t>
  </si>
  <si>
    <t>_invoice_tds_amount</t>
  </si>
  <si>
    <t>_invoice_gst_tds_amount</t>
  </si>
  <si>
    <t>_invoice_bocw_amount</t>
  </si>
  <si>
    <t>_invoice_low_depth_deduction_amount</t>
  </si>
  <si>
    <t>_invoice_liquidated_damages_amount</t>
  </si>
  <si>
    <t>_invoice_sla_penalty_amount</t>
  </si>
  <si>
    <t>_invoice_penalty_amount</t>
  </si>
  <si>
    <t>_invoice_other_deduction_amount</t>
  </si>
  <si>
    <t>_invoice_total_deduction_amount</t>
  </si>
  <si>
    <t>_invoice_net_payable_amount</t>
  </si>
  <si>
    <t>_invoice_status</t>
  </si>
  <si>
    <t>_invoice_amount_paid</t>
  </si>
  <si>
    <t>_payment_date</t>
  </si>
  <si>
    <t>_invoice_balance_amount</t>
  </si>
  <si>
    <t>(this will be the post content)</t>
  </si>
  <si>
    <t>Balance/Pending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</si>
</sst>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rgb="FFFCFCFA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2D2A2E"/>
        <bgColor rgb="FF2D2A2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tabSelected="1" topLeftCell="U1" workbookViewId="0">
      <selection activeCell="AB2" sqref="AB2"/>
    </sheetView>
  </sheetViews>
  <sheetFormatPr defaultColWidth="12.5703125" defaultRowHeight="15" customHeight="1" x14ac:dyDescent="0.25"/>
  <cols>
    <col min="1" max="1" width="15.85546875" customWidth="1"/>
    <col min="2" max="2" width="14.7109375" customWidth="1"/>
    <col min="3" max="3" width="14.85546875" customWidth="1"/>
    <col min="4" max="4" width="11.7109375" customWidth="1"/>
    <col min="5" max="5" width="18" customWidth="1"/>
    <col min="6" max="6" width="9.5703125" customWidth="1"/>
    <col min="7" max="7" width="15" customWidth="1"/>
    <col min="8" max="8" width="11.7109375" customWidth="1"/>
    <col min="9" max="9" width="15.85546875" customWidth="1"/>
    <col min="10" max="11" width="20.140625" customWidth="1"/>
    <col min="12" max="12" width="18.5703125" customWidth="1"/>
    <col min="13" max="13" width="14.85546875" customWidth="1"/>
    <col min="14" max="15" width="23" customWidth="1"/>
    <col min="16" max="16" width="13.7109375" customWidth="1"/>
    <col min="17" max="19" width="9.140625" customWidth="1"/>
    <col min="20" max="20" width="14.85546875" customWidth="1"/>
    <col min="21" max="21" width="9.140625" customWidth="1"/>
    <col min="22" max="22" width="10.85546875" customWidth="1"/>
    <col min="23" max="23" width="9.140625" customWidth="1"/>
    <col min="24" max="25" width="15.42578125" customWidth="1"/>
    <col min="26" max="26" width="32.5703125" bestFit="1" customWidth="1"/>
    <col min="27" max="27" width="18.42578125" bestFit="1" customWidth="1"/>
    <col min="28" max="28" width="24.28515625" bestFit="1" customWidth="1"/>
    <col min="29" max="29" width="33.85546875" bestFit="1" customWidth="1"/>
    <col min="30" max="30" width="27.85546875" bestFit="1" customWidth="1"/>
    <col min="31" max="31" width="9.140625" customWidth="1"/>
  </cols>
  <sheetData>
    <row r="1" spans="1:31" ht="78" customHeight="1" x14ac:dyDescent="0.25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2" t="s">
        <v>3</v>
      </c>
      <c r="H1" s="1" t="s">
        <v>3</v>
      </c>
      <c r="I1" s="1" t="s">
        <v>4</v>
      </c>
      <c r="J1" s="1" t="s">
        <v>3</v>
      </c>
      <c r="K1" s="1" t="s">
        <v>5</v>
      </c>
      <c r="L1" s="1" t="s">
        <v>6</v>
      </c>
      <c r="M1" s="1" t="s">
        <v>7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2" t="s">
        <v>8</v>
      </c>
      <c r="Z1" s="2" t="s">
        <v>9</v>
      </c>
      <c r="AA1" s="1" t="s">
        <v>5</v>
      </c>
      <c r="AB1" s="1" t="s">
        <v>3</v>
      </c>
      <c r="AC1" s="2" t="s">
        <v>10</v>
      </c>
      <c r="AD1" s="1" t="s">
        <v>11</v>
      </c>
      <c r="AE1" s="1" t="s">
        <v>3</v>
      </c>
    </row>
    <row r="2" spans="1:31" ht="45" x14ac:dyDescent="0.25">
      <c r="A2" s="3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2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P2" s="4" t="s">
        <v>27</v>
      </c>
      <c r="Q2" s="4" t="s">
        <v>28</v>
      </c>
      <c r="R2" s="4" t="s">
        <v>29</v>
      </c>
      <c r="S2" s="4" t="s">
        <v>30</v>
      </c>
      <c r="T2" s="2" t="s">
        <v>31</v>
      </c>
      <c r="U2" s="4" t="s">
        <v>32</v>
      </c>
      <c r="V2" s="4" t="s">
        <v>33</v>
      </c>
      <c r="W2" s="4" t="s">
        <v>34</v>
      </c>
      <c r="X2" s="4" t="s">
        <v>35</v>
      </c>
      <c r="Y2" s="4" t="s">
        <v>36</v>
      </c>
      <c r="Z2" s="4" t="s">
        <v>37</v>
      </c>
      <c r="AA2" s="4" t="s">
        <v>38</v>
      </c>
      <c r="AB2" s="2" t="s">
        <v>39</v>
      </c>
      <c r="AC2" s="3" t="s">
        <v>40</v>
      </c>
      <c r="AD2" s="2" t="s">
        <v>102</v>
      </c>
      <c r="AE2" s="4" t="s">
        <v>41</v>
      </c>
    </row>
    <row r="3" spans="1:31" ht="13.5" customHeight="1" x14ac:dyDescent="0.25">
      <c r="A3" s="5">
        <v>1</v>
      </c>
      <c r="B3" s="5" t="s">
        <v>42</v>
      </c>
      <c r="C3" s="5" t="s">
        <v>43</v>
      </c>
      <c r="D3" s="5" t="s">
        <v>44</v>
      </c>
      <c r="E3" s="5" t="s">
        <v>45</v>
      </c>
      <c r="F3" s="6">
        <v>0.6</v>
      </c>
      <c r="G3" s="5">
        <v>12355</v>
      </c>
      <c r="H3" s="7">
        <v>45838</v>
      </c>
      <c r="I3" s="7">
        <v>45839</v>
      </c>
      <c r="J3" s="5">
        <v>999999</v>
      </c>
      <c r="K3" s="6">
        <v>0.18</v>
      </c>
      <c r="L3" s="5">
        <f t="shared" ref="L3:L12" si="0">J3*K3</f>
        <v>179999.82</v>
      </c>
      <c r="M3" s="5">
        <f t="shared" ref="M3:M12" si="1">J3+L3</f>
        <v>1179998.82</v>
      </c>
      <c r="N3" s="5">
        <f t="shared" ref="N3:N13" si="2">M3</f>
        <v>1179998.82</v>
      </c>
      <c r="O3" s="3">
        <v>50000</v>
      </c>
      <c r="P3" s="5">
        <v>179999.82</v>
      </c>
      <c r="Q3" s="5">
        <f t="shared" ref="Q3:Q12" si="3">J3*0.02</f>
        <v>19999.98</v>
      </c>
      <c r="R3" s="5">
        <f t="shared" ref="R3:R11" si="4">L3*0.02</f>
        <v>3599.9964</v>
      </c>
      <c r="S3" s="5">
        <f t="shared" ref="S3:S12" si="5">M3*0.01</f>
        <v>11799.988200000002</v>
      </c>
      <c r="T3" s="5">
        <v>5685</v>
      </c>
      <c r="U3" s="5">
        <f>J3*0.15</f>
        <v>149999.85</v>
      </c>
      <c r="V3" s="5">
        <v>0</v>
      </c>
      <c r="W3" s="5">
        <v>0</v>
      </c>
      <c r="X3" s="5">
        <v>0</v>
      </c>
      <c r="Y3" s="5">
        <f t="shared" ref="Y3:Y12" si="6">O3+Q3+R3+S3+T3+U3+V3+W3+X3</f>
        <v>241084.81460000001</v>
      </c>
      <c r="Z3" s="5">
        <f t="shared" ref="Z3:Z12" si="7">M3-Y3</f>
        <v>938914.00540000002</v>
      </c>
      <c r="AA3" s="8" t="s">
        <v>46</v>
      </c>
      <c r="AB3" s="5">
        <f>Z3</f>
        <v>938914.00540000002</v>
      </c>
      <c r="AC3" s="7">
        <v>45848</v>
      </c>
      <c r="AD3" s="5">
        <f t="shared" ref="AD3:AD12" si="8">Z3-AB3</f>
        <v>0</v>
      </c>
      <c r="AE3" s="5"/>
    </row>
    <row r="4" spans="1:31" ht="13.5" customHeight="1" x14ac:dyDescent="0.25">
      <c r="A4" s="5">
        <v>2</v>
      </c>
      <c r="B4" s="5" t="s">
        <v>47</v>
      </c>
      <c r="C4" s="5" t="s">
        <v>48</v>
      </c>
      <c r="D4" s="5" t="s">
        <v>49</v>
      </c>
      <c r="E4" s="5" t="s">
        <v>50</v>
      </c>
      <c r="F4" s="6">
        <v>0.9</v>
      </c>
      <c r="G4" s="5">
        <v>12356</v>
      </c>
      <c r="H4" s="7">
        <v>45839</v>
      </c>
      <c r="I4" s="7">
        <v>45840</v>
      </c>
      <c r="J4" s="5">
        <v>10000001</v>
      </c>
      <c r="K4" s="6">
        <v>0.18</v>
      </c>
      <c r="L4" s="5">
        <f t="shared" si="0"/>
        <v>1800000.18</v>
      </c>
      <c r="M4" s="5">
        <f t="shared" si="1"/>
        <v>11800001.18</v>
      </c>
      <c r="N4" s="5">
        <f t="shared" si="2"/>
        <v>11800001.18</v>
      </c>
      <c r="O4" s="3">
        <v>50000</v>
      </c>
      <c r="P4" s="5">
        <v>1800000.18</v>
      </c>
      <c r="Q4" s="5">
        <f t="shared" si="3"/>
        <v>200000.02000000002</v>
      </c>
      <c r="R4" s="5">
        <f t="shared" si="4"/>
        <v>36000.003599999996</v>
      </c>
      <c r="S4" s="5">
        <f t="shared" si="5"/>
        <v>118000.01179999999</v>
      </c>
      <c r="T4" s="5">
        <v>0</v>
      </c>
      <c r="U4" s="5">
        <f t="shared" ref="U4:U12" si="9">J4*0.15</f>
        <v>1500000.15</v>
      </c>
      <c r="V4" s="5">
        <v>0</v>
      </c>
      <c r="W4" s="5">
        <v>0</v>
      </c>
      <c r="X4" s="5">
        <v>0</v>
      </c>
      <c r="Y4" s="5">
        <f t="shared" si="6"/>
        <v>1904000.1853999998</v>
      </c>
      <c r="Z4" s="5">
        <f t="shared" si="7"/>
        <v>9896000.9945999999</v>
      </c>
      <c r="AA4" s="5" t="s">
        <v>46</v>
      </c>
      <c r="AB4" s="5">
        <f t="shared" ref="AB4:AB6" si="10">Z4</f>
        <v>9896000.9945999999</v>
      </c>
      <c r="AC4" s="7">
        <v>45849</v>
      </c>
      <c r="AD4" s="5">
        <f t="shared" si="8"/>
        <v>0</v>
      </c>
      <c r="AE4" s="5"/>
    </row>
    <row r="5" spans="1:31" ht="13.5" customHeight="1" x14ac:dyDescent="0.25">
      <c r="A5" s="5">
        <v>3</v>
      </c>
      <c r="B5" s="5" t="s">
        <v>51</v>
      </c>
      <c r="C5" s="5" t="s">
        <v>48</v>
      </c>
      <c r="D5" s="5" t="s">
        <v>52</v>
      </c>
      <c r="E5" s="5" t="s">
        <v>53</v>
      </c>
      <c r="F5" s="6">
        <v>1</v>
      </c>
      <c r="G5" s="5">
        <v>12357</v>
      </c>
      <c r="H5" s="7">
        <v>45840</v>
      </c>
      <c r="I5" s="7">
        <v>45841</v>
      </c>
      <c r="J5" s="5">
        <v>10000002</v>
      </c>
      <c r="K5" s="6">
        <v>0.18</v>
      </c>
      <c r="L5" s="5">
        <f t="shared" si="0"/>
        <v>1800000.3599999999</v>
      </c>
      <c r="M5" s="5">
        <f t="shared" si="1"/>
        <v>11800002.359999999</v>
      </c>
      <c r="N5" s="5">
        <f t="shared" si="2"/>
        <v>11800002.359999999</v>
      </c>
      <c r="O5" s="3">
        <v>50000</v>
      </c>
      <c r="P5" s="5">
        <v>1800000.3599999999</v>
      </c>
      <c r="Q5" s="5">
        <f t="shared" si="3"/>
        <v>200000.04</v>
      </c>
      <c r="R5" s="5">
        <f t="shared" si="4"/>
        <v>36000.0072</v>
      </c>
      <c r="S5" s="5">
        <f t="shared" si="5"/>
        <v>118000.0236</v>
      </c>
      <c r="T5" s="5">
        <v>0</v>
      </c>
      <c r="U5" s="5">
        <f t="shared" si="9"/>
        <v>1500000.3</v>
      </c>
      <c r="V5" s="5">
        <v>0</v>
      </c>
      <c r="W5" s="5">
        <v>0</v>
      </c>
      <c r="X5" s="5">
        <v>0</v>
      </c>
      <c r="Y5" s="5">
        <f t="shared" si="6"/>
        <v>1904000.3708000001</v>
      </c>
      <c r="Z5" s="5">
        <f t="shared" si="7"/>
        <v>9896001.9891999997</v>
      </c>
      <c r="AA5" s="5" t="s">
        <v>54</v>
      </c>
      <c r="AB5" s="5">
        <f t="shared" si="10"/>
        <v>9896001.9891999997</v>
      </c>
      <c r="AC5" s="7">
        <v>45850</v>
      </c>
      <c r="AD5" s="5">
        <f t="shared" si="8"/>
        <v>0</v>
      </c>
      <c r="AE5" s="5"/>
    </row>
    <row r="6" spans="1:31" ht="13.5" customHeight="1" x14ac:dyDescent="0.25">
      <c r="A6" s="5">
        <v>4</v>
      </c>
      <c r="B6" s="5" t="s">
        <v>55</v>
      </c>
      <c r="C6" s="5" t="s">
        <v>48</v>
      </c>
      <c r="D6" s="5" t="s">
        <v>56</v>
      </c>
      <c r="E6" s="5" t="s">
        <v>57</v>
      </c>
      <c r="F6" s="6">
        <v>1</v>
      </c>
      <c r="G6" s="5">
        <v>12358</v>
      </c>
      <c r="H6" s="7">
        <v>45841</v>
      </c>
      <c r="I6" s="7">
        <v>45842</v>
      </c>
      <c r="J6" s="5">
        <v>10000003</v>
      </c>
      <c r="K6" s="6">
        <v>0.18</v>
      </c>
      <c r="L6" s="5">
        <f t="shared" si="0"/>
        <v>1800000.54</v>
      </c>
      <c r="M6" s="5">
        <f t="shared" si="1"/>
        <v>11800003.539999999</v>
      </c>
      <c r="N6" s="5">
        <f t="shared" si="2"/>
        <v>11800003.539999999</v>
      </c>
      <c r="O6" s="3">
        <v>50000</v>
      </c>
      <c r="P6" s="5">
        <v>0</v>
      </c>
      <c r="Q6" s="5">
        <f t="shared" si="3"/>
        <v>200000.06</v>
      </c>
      <c r="R6" s="5">
        <f t="shared" si="4"/>
        <v>36000.010800000004</v>
      </c>
      <c r="S6" s="5">
        <f t="shared" si="5"/>
        <v>118000.03539999999</v>
      </c>
      <c r="T6" s="5">
        <v>0</v>
      </c>
      <c r="U6" s="5">
        <f t="shared" si="9"/>
        <v>1500000.45</v>
      </c>
      <c r="V6" s="5">
        <v>0</v>
      </c>
      <c r="W6" s="5">
        <v>0</v>
      </c>
      <c r="X6" s="5">
        <v>0</v>
      </c>
      <c r="Y6" s="5">
        <f t="shared" si="6"/>
        <v>1904000.5562</v>
      </c>
      <c r="Z6" s="5">
        <f t="shared" si="7"/>
        <v>9896002.9837999996</v>
      </c>
      <c r="AA6" s="5" t="s">
        <v>58</v>
      </c>
      <c r="AB6" s="5">
        <f t="shared" si="10"/>
        <v>9896002.9837999996</v>
      </c>
      <c r="AC6" s="7">
        <v>45851</v>
      </c>
      <c r="AD6" s="5">
        <f t="shared" si="8"/>
        <v>0</v>
      </c>
      <c r="AE6" s="5"/>
    </row>
    <row r="7" spans="1:31" ht="13.5" customHeight="1" x14ac:dyDescent="0.25">
      <c r="A7" s="5">
        <v>5</v>
      </c>
      <c r="B7" s="5" t="s">
        <v>59</v>
      </c>
      <c r="C7" s="5" t="s">
        <v>48</v>
      </c>
      <c r="D7" s="5" t="s">
        <v>60</v>
      </c>
      <c r="E7" s="5" t="s">
        <v>61</v>
      </c>
      <c r="F7" s="6">
        <v>1</v>
      </c>
      <c r="G7" s="5">
        <v>12359</v>
      </c>
      <c r="H7" s="7">
        <v>45842</v>
      </c>
      <c r="I7" s="7">
        <v>45843</v>
      </c>
      <c r="J7" s="5">
        <v>10000004</v>
      </c>
      <c r="K7" s="6">
        <v>0.18</v>
      </c>
      <c r="L7" s="5">
        <f t="shared" si="0"/>
        <v>1800000.72</v>
      </c>
      <c r="M7" s="9">
        <f t="shared" si="1"/>
        <v>11800004.720000001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5" t="s">
        <v>62</v>
      </c>
      <c r="AB7" s="5">
        <v>0</v>
      </c>
      <c r="AC7" s="7">
        <v>45852</v>
      </c>
      <c r="AD7" s="5">
        <v>0</v>
      </c>
      <c r="AE7" s="5"/>
    </row>
    <row r="8" spans="1:31" ht="13.5" customHeight="1" x14ac:dyDescent="0.25">
      <c r="A8" s="5">
        <v>6</v>
      </c>
      <c r="B8" s="5" t="s">
        <v>42</v>
      </c>
      <c r="C8" s="5" t="s">
        <v>43</v>
      </c>
      <c r="D8" s="5" t="s">
        <v>52</v>
      </c>
      <c r="E8" s="5" t="s">
        <v>63</v>
      </c>
      <c r="F8" s="6">
        <v>0.9</v>
      </c>
      <c r="G8" s="5">
        <v>12360</v>
      </c>
      <c r="H8" s="7">
        <v>45843</v>
      </c>
      <c r="I8" s="7">
        <v>45844</v>
      </c>
      <c r="J8" s="5">
        <v>10000005</v>
      </c>
      <c r="K8" s="6">
        <v>0.18</v>
      </c>
      <c r="L8" s="5">
        <f t="shared" si="0"/>
        <v>1800000.9</v>
      </c>
      <c r="M8" s="5">
        <f t="shared" si="1"/>
        <v>11800005.9</v>
      </c>
      <c r="N8" s="5">
        <f t="shared" si="2"/>
        <v>11800005.9</v>
      </c>
      <c r="O8" s="3">
        <v>50000</v>
      </c>
      <c r="P8" s="5">
        <v>0</v>
      </c>
      <c r="Q8" s="5">
        <f t="shared" si="3"/>
        <v>200000.1</v>
      </c>
      <c r="R8" s="5">
        <f t="shared" si="4"/>
        <v>36000.017999999996</v>
      </c>
      <c r="S8" s="5">
        <f t="shared" si="5"/>
        <v>118000.05900000001</v>
      </c>
      <c r="T8" s="5">
        <v>0</v>
      </c>
      <c r="U8" s="5">
        <f t="shared" si="9"/>
        <v>1500000.75</v>
      </c>
      <c r="V8" s="5">
        <v>0</v>
      </c>
      <c r="W8" s="5">
        <v>0</v>
      </c>
      <c r="X8" s="5">
        <v>0</v>
      </c>
      <c r="Y8" s="5">
        <f t="shared" si="6"/>
        <v>1904000.9270000001</v>
      </c>
      <c r="Z8" s="5">
        <f t="shared" si="7"/>
        <v>9896004.9730000012</v>
      </c>
      <c r="AA8" s="5" t="s">
        <v>58</v>
      </c>
      <c r="AB8" s="5">
        <v>0</v>
      </c>
      <c r="AC8" s="7">
        <v>45853</v>
      </c>
      <c r="AD8" s="5">
        <f t="shared" si="8"/>
        <v>9896004.9730000012</v>
      </c>
      <c r="AE8" s="5"/>
    </row>
    <row r="9" spans="1:31" ht="13.5" customHeight="1" x14ac:dyDescent="0.25">
      <c r="A9" s="5">
        <v>7</v>
      </c>
      <c r="B9" s="5" t="s">
        <v>42</v>
      </c>
      <c r="C9" s="5" t="s">
        <v>43</v>
      </c>
      <c r="D9" s="5" t="s">
        <v>64</v>
      </c>
      <c r="E9" s="5" t="s">
        <v>65</v>
      </c>
      <c r="F9" s="6">
        <v>1</v>
      </c>
      <c r="G9" s="5">
        <v>12361</v>
      </c>
      <c r="H9" s="7">
        <v>45844</v>
      </c>
      <c r="I9" s="7">
        <v>45845</v>
      </c>
      <c r="J9" s="5">
        <v>10000006</v>
      </c>
      <c r="K9" s="6">
        <v>0.18</v>
      </c>
      <c r="L9" s="5">
        <f t="shared" si="0"/>
        <v>1800001.0799999998</v>
      </c>
      <c r="M9" s="5">
        <f t="shared" si="1"/>
        <v>11800007.08</v>
      </c>
      <c r="N9" s="5">
        <f t="shared" si="2"/>
        <v>11800007.08</v>
      </c>
      <c r="O9" s="3">
        <v>50000</v>
      </c>
      <c r="P9" s="5">
        <v>1800001.0799999998</v>
      </c>
      <c r="Q9" s="5">
        <f t="shared" si="3"/>
        <v>200000.12</v>
      </c>
      <c r="R9" s="5">
        <f t="shared" si="4"/>
        <v>36000.0216</v>
      </c>
      <c r="S9" s="5">
        <f t="shared" si="5"/>
        <v>118000.0708</v>
      </c>
      <c r="T9" s="5">
        <v>0</v>
      </c>
      <c r="U9" s="5">
        <f t="shared" si="9"/>
        <v>1500000.9</v>
      </c>
      <c r="V9" s="5">
        <v>0</v>
      </c>
      <c r="W9" s="5">
        <v>0</v>
      </c>
      <c r="X9" s="5">
        <v>0</v>
      </c>
      <c r="Y9" s="5">
        <f t="shared" si="6"/>
        <v>1904001.1124</v>
      </c>
      <c r="Z9" s="5">
        <f t="shared" si="7"/>
        <v>9896005.9675999992</v>
      </c>
      <c r="AA9" s="5" t="s">
        <v>58</v>
      </c>
      <c r="AB9" s="5">
        <v>0</v>
      </c>
      <c r="AC9" s="7">
        <v>45854</v>
      </c>
      <c r="AD9" s="5">
        <f t="shared" si="8"/>
        <v>9896005.9675999992</v>
      </c>
      <c r="AE9" s="5"/>
    </row>
    <row r="10" spans="1:31" ht="13.5" customHeight="1" x14ac:dyDescent="0.25">
      <c r="A10" s="5">
        <v>8</v>
      </c>
      <c r="B10" s="5" t="s">
        <v>66</v>
      </c>
      <c r="C10" s="5" t="s">
        <v>43</v>
      </c>
      <c r="D10" s="5" t="s">
        <v>67</v>
      </c>
      <c r="E10" s="5" t="s">
        <v>68</v>
      </c>
      <c r="F10" s="6">
        <v>0.9</v>
      </c>
      <c r="G10" s="5">
        <v>12362</v>
      </c>
      <c r="H10" s="7">
        <v>45845</v>
      </c>
      <c r="I10" s="7">
        <v>45846</v>
      </c>
      <c r="J10" s="5">
        <v>10000007</v>
      </c>
      <c r="K10" s="6">
        <v>0.18</v>
      </c>
      <c r="L10" s="5">
        <f t="shared" si="0"/>
        <v>1800001.26</v>
      </c>
      <c r="M10" s="5">
        <f t="shared" si="1"/>
        <v>11800008.26</v>
      </c>
      <c r="N10" s="5">
        <f t="shared" si="2"/>
        <v>11800008.26</v>
      </c>
      <c r="O10" s="3">
        <v>50000</v>
      </c>
      <c r="P10" s="5">
        <v>1800001.26</v>
      </c>
      <c r="Q10" s="5">
        <f t="shared" si="3"/>
        <v>200000.14</v>
      </c>
      <c r="R10" s="5">
        <f t="shared" si="4"/>
        <v>36000.025200000004</v>
      </c>
      <c r="S10" s="5">
        <f t="shared" si="5"/>
        <v>118000.08259999999</v>
      </c>
      <c r="T10" s="5">
        <v>0</v>
      </c>
      <c r="U10" s="5">
        <f t="shared" si="9"/>
        <v>1500001.05</v>
      </c>
      <c r="V10" s="5">
        <v>50000</v>
      </c>
      <c r="W10" s="5">
        <v>0</v>
      </c>
      <c r="X10" s="5">
        <v>0</v>
      </c>
      <c r="Y10" s="5">
        <f t="shared" si="6"/>
        <v>1954001.2978000001</v>
      </c>
      <c r="Z10" s="5">
        <f t="shared" si="7"/>
        <v>9846006.962199999</v>
      </c>
      <c r="AA10" s="5" t="s">
        <v>58</v>
      </c>
      <c r="AB10" s="5">
        <v>0</v>
      </c>
      <c r="AC10" s="7">
        <v>45855</v>
      </c>
      <c r="AD10" s="5">
        <f t="shared" si="8"/>
        <v>9846006.962199999</v>
      </c>
      <c r="AE10" s="5"/>
    </row>
    <row r="11" spans="1:31" ht="13.5" customHeight="1" x14ac:dyDescent="0.25">
      <c r="A11" s="5">
        <v>9</v>
      </c>
      <c r="B11" s="5" t="s">
        <v>42</v>
      </c>
      <c r="C11" s="5" t="s">
        <v>43</v>
      </c>
      <c r="D11" s="5" t="s">
        <v>69</v>
      </c>
      <c r="E11" s="5" t="s">
        <v>70</v>
      </c>
      <c r="F11" s="6">
        <v>1</v>
      </c>
      <c r="G11" s="5">
        <v>12363</v>
      </c>
      <c r="H11" s="7">
        <v>45846</v>
      </c>
      <c r="I11" s="7">
        <v>45847</v>
      </c>
      <c r="J11" s="5">
        <v>10000008</v>
      </c>
      <c r="K11" s="6">
        <v>0.18</v>
      </c>
      <c r="L11" s="5">
        <f t="shared" si="0"/>
        <v>1800001.44</v>
      </c>
      <c r="M11" s="5">
        <f t="shared" si="1"/>
        <v>11800009.439999999</v>
      </c>
      <c r="N11" s="5">
        <f t="shared" si="2"/>
        <v>11800009.439999999</v>
      </c>
      <c r="O11" s="3">
        <v>50000</v>
      </c>
      <c r="P11" s="5">
        <v>1800001.44</v>
      </c>
      <c r="Q11" s="5">
        <f t="shared" si="3"/>
        <v>200000.16</v>
      </c>
      <c r="R11" s="5">
        <f t="shared" si="4"/>
        <v>36000.0288</v>
      </c>
      <c r="S11" s="5">
        <f t="shared" si="5"/>
        <v>118000.0944</v>
      </c>
      <c r="T11" s="5">
        <v>0</v>
      </c>
      <c r="U11" s="5">
        <f t="shared" si="9"/>
        <v>1500001.2</v>
      </c>
      <c r="V11" s="5">
        <v>0</v>
      </c>
      <c r="W11" s="5">
        <v>0</v>
      </c>
      <c r="X11" s="5">
        <v>0</v>
      </c>
      <c r="Y11" s="5">
        <f t="shared" si="6"/>
        <v>1904001.4831999999</v>
      </c>
      <c r="Z11" s="5">
        <f t="shared" si="7"/>
        <v>9896007.9567999989</v>
      </c>
      <c r="AA11" s="5" t="s">
        <v>58</v>
      </c>
      <c r="AB11" s="5">
        <v>0</v>
      </c>
      <c r="AC11" s="7">
        <v>45856</v>
      </c>
      <c r="AD11" s="5">
        <f t="shared" si="8"/>
        <v>9896007.9567999989</v>
      </c>
      <c r="AE11" s="5"/>
    </row>
    <row r="12" spans="1:31" ht="13.5" customHeight="1" x14ac:dyDescent="0.25">
      <c r="A12" s="5">
        <v>10</v>
      </c>
      <c r="B12" s="5" t="s">
        <v>59</v>
      </c>
      <c r="C12" s="5" t="s">
        <v>48</v>
      </c>
      <c r="D12" s="5" t="s">
        <v>60</v>
      </c>
      <c r="E12" s="5" t="s">
        <v>61</v>
      </c>
      <c r="F12" s="6">
        <v>1</v>
      </c>
      <c r="G12" s="5">
        <v>12359</v>
      </c>
      <c r="H12" s="7">
        <v>45842</v>
      </c>
      <c r="I12" s="7">
        <v>45843</v>
      </c>
      <c r="J12" s="9">
        <v>850000</v>
      </c>
      <c r="K12" s="6">
        <v>0.18</v>
      </c>
      <c r="L12" s="5">
        <f t="shared" si="0"/>
        <v>153000</v>
      </c>
      <c r="M12" s="9">
        <f t="shared" si="1"/>
        <v>1003000</v>
      </c>
      <c r="N12" s="5">
        <f t="shared" si="2"/>
        <v>1003000</v>
      </c>
      <c r="O12" s="3">
        <v>50000</v>
      </c>
      <c r="P12" s="5">
        <v>153000</v>
      </c>
      <c r="Q12" s="5">
        <f t="shared" si="3"/>
        <v>17000</v>
      </c>
      <c r="R12" s="5">
        <f>L12*0.02</f>
        <v>3060</v>
      </c>
      <c r="S12" s="5">
        <f t="shared" si="5"/>
        <v>10030</v>
      </c>
      <c r="T12" s="5">
        <v>0</v>
      </c>
      <c r="U12" s="5">
        <f t="shared" si="9"/>
        <v>127500</v>
      </c>
      <c r="V12" s="5">
        <v>0</v>
      </c>
      <c r="W12" s="5">
        <v>0</v>
      </c>
      <c r="X12" s="5">
        <v>0</v>
      </c>
      <c r="Y12" s="5">
        <f t="shared" si="6"/>
        <v>207590</v>
      </c>
      <c r="Z12" s="9">
        <f t="shared" si="7"/>
        <v>795410</v>
      </c>
      <c r="AA12" s="5" t="s">
        <v>58</v>
      </c>
      <c r="AB12" s="5">
        <v>0</v>
      </c>
      <c r="AC12" s="7">
        <v>45857</v>
      </c>
      <c r="AD12" s="9">
        <f t="shared" si="8"/>
        <v>795410</v>
      </c>
      <c r="AE12" s="5"/>
    </row>
    <row r="13" spans="1:31" ht="13.5" customHeight="1" x14ac:dyDescent="0.25">
      <c r="A13" s="3"/>
      <c r="B13" s="3"/>
      <c r="C13" s="3"/>
      <c r="D13" s="3"/>
      <c r="E13" s="3"/>
      <c r="F13" s="10"/>
      <c r="G13" s="3"/>
      <c r="H13" s="3"/>
      <c r="I13" s="3" t="s">
        <v>71</v>
      </c>
      <c r="J13" s="3">
        <f>SUBTOTAL(9,J3:J11)</f>
        <v>81000035</v>
      </c>
      <c r="K13" s="3"/>
      <c r="L13" s="3">
        <f t="shared" ref="L13:M13" si="11">SUBTOTAL(9,L3:L11)</f>
        <v>14580006.299999999</v>
      </c>
      <c r="M13" s="3">
        <f t="shared" si="11"/>
        <v>95580041.299999997</v>
      </c>
      <c r="N13" s="5">
        <f t="shared" si="2"/>
        <v>95580041.299999997</v>
      </c>
      <c r="O13" s="3">
        <f t="shared" ref="O13" si="12">J13*(100%-F13)</f>
        <v>81000035</v>
      </c>
      <c r="P13" s="3">
        <f t="shared" ref="P13:Z13" si="13">SUBTOTAL(9,P3:P11)</f>
        <v>9180004.1399999987</v>
      </c>
      <c r="Q13" s="3">
        <f t="shared" si="13"/>
        <v>1420000.6199999999</v>
      </c>
      <c r="R13" s="3">
        <f t="shared" si="13"/>
        <v>255600.1116</v>
      </c>
      <c r="S13" s="3">
        <f t="shared" si="13"/>
        <v>837800.36580000003</v>
      </c>
      <c r="T13" s="3">
        <f t="shared" si="13"/>
        <v>5685</v>
      </c>
      <c r="U13" s="3">
        <f t="shared" si="13"/>
        <v>10650004.65</v>
      </c>
      <c r="V13" s="3">
        <f t="shared" si="13"/>
        <v>50000</v>
      </c>
      <c r="W13" s="3">
        <f t="shared" si="13"/>
        <v>0</v>
      </c>
      <c r="X13" s="3">
        <f t="shared" si="13"/>
        <v>0</v>
      </c>
      <c r="Y13" s="3">
        <f t="shared" si="13"/>
        <v>13619090.747400003</v>
      </c>
      <c r="Z13" s="3">
        <f t="shared" si="13"/>
        <v>70160945.832599998</v>
      </c>
      <c r="AA13" s="3"/>
      <c r="AB13" s="3">
        <f>SUBTOTAL(9,AB3:AB11)</f>
        <v>30626919.972999997</v>
      </c>
      <c r="AC13" s="7"/>
      <c r="AD13" s="3">
        <f>SUBTOTAL(9,AD3:AD11)</f>
        <v>39534025.8596</v>
      </c>
      <c r="AE13" s="3"/>
    </row>
    <row r="14" spans="1:31" ht="13.5" customHeight="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ht="13.5" customHeight="1" x14ac:dyDescent="0.25">
      <c r="A15" s="11"/>
      <c r="B15" s="12" t="s">
        <v>72</v>
      </c>
      <c r="C15" s="12" t="s">
        <v>73</v>
      </c>
      <c r="D15" s="12" t="s">
        <v>74</v>
      </c>
      <c r="E15" s="12" t="s">
        <v>75</v>
      </c>
      <c r="F15" s="12" t="s">
        <v>76</v>
      </c>
      <c r="G15" s="12" t="s">
        <v>77</v>
      </c>
      <c r="H15" s="12" t="s">
        <v>78</v>
      </c>
      <c r="I15" s="12" t="s">
        <v>79</v>
      </c>
      <c r="J15" s="12" t="s">
        <v>80</v>
      </c>
      <c r="K15" s="12" t="s">
        <v>81</v>
      </c>
      <c r="L15" s="12" t="s">
        <v>82</v>
      </c>
      <c r="M15" s="12" t="s">
        <v>83</v>
      </c>
      <c r="N15" s="12" t="s">
        <v>84</v>
      </c>
      <c r="O15" s="12" t="s">
        <v>85</v>
      </c>
      <c r="P15" s="12" t="s">
        <v>86</v>
      </c>
      <c r="Q15" s="12" t="s">
        <v>87</v>
      </c>
      <c r="R15" s="12" t="s">
        <v>88</v>
      </c>
      <c r="S15" s="12" t="s">
        <v>89</v>
      </c>
      <c r="T15" s="12" t="s">
        <v>90</v>
      </c>
      <c r="U15" s="12" t="s">
        <v>91</v>
      </c>
      <c r="V15" s="12" t="s">
        <v>92</v>
      </c>
      <c r="W15" s="12" t="s">
        <v>93</v>
      </c>
      <c r="X15" s="12" t="s">
        <v>94</v>
      </c>
      <c r="Y15" s="12" t="s">
        <v>95</v>
      </c>
      <c r="Z15" s="12" t="s">
        <v>96</v>
      </c>
      <c r="AA15" s="12" t="s">
        <v>97</v>
      </c>
      <c r="AB15" s="12" t="s">
        <v>98</v>
      </c>
      <c r="AC15" s="12" t="s">
        <v>99</v>
      </c>
      <c r="AD15" s="12" t="s">
        <v>100</v>
      </c>
      <c r="AE15" s="12" t="s">
        <v>101</v>
      </c>
    </row>
    <row r="16" spans="1:31" ht="13.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spans="1:31" ht="13.5" customHeigh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1" ht="13.5" customHeigh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ht="13.5" customHeight="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ht="13.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ht="13.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ht="13.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spans="1:31" ht="13.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1:31" ht="13.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 ht="13.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1:31" ht="13.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1:31" ht="13.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spans="1:31" ht="13.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1:31" ht="13.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spans="1:31" ht="13.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spans="1:31" ht="13.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spans="1:31" ht="13.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spans="1:31" ht="13.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1:31" ht="13.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1:31" ht="13.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 ht="13.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1:31" ht="13.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spans="1:31" ht="13.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1:31" ht="13.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31" ht="13.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1:31" ht="13.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31" ht="13.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spans="1:31" ht="13.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spans="1:31" ht="13.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1:31" ht="13.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1:31" ht="13.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spans="1:31" ht="13.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 spans="1:31" ht="13.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spans="1:31" ht="13.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spans="1:31" ht="13.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spans="1:31" ht="13.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 spans="1:31" ht="13.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spans="1:31" ht="13.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spans="1:31" ht="13.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 spans="1:31" ht="13.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spans="1:31" ht="13.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spans="1:31" ht="13.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spans="1:31" ht="13.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spans="1:31" ht="13.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spans="1:31" ht="13.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spans="1:31" ht="13.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 ht="13.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spans="1:31" ht="13.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spans="1:31" ht="13.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1:31" ht="13.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spans="1:31" ht="13.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spans="1:31" ht="13.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1:31" ht="13.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spans="1:31" ht="13.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spans="1:31" ht="13.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spans="1:31" ht="13.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1:31" ht="13.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1:31" ht="13.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spans="1:31" ht="13.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spans="1:31" ht="13.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spans="1:31" ht="13.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spans="1:31" ht="13.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1" ht="13.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1" ht="13.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1" ht="13.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1" ht="13.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1:31" ht="13.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1:31" ht="13.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1:31" ht="13.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spans="1:31" ht="13.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spans="1:31" ht="13.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spans="1:31" ht="13.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spans="1:31" ht="13.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spans="1:31" ht="13.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spans="1:31" ht="13.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1:31" ht="13.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spans="1:31" ht="13.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spans="1:31" ht="13.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spans="1:31" ht="13.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spans="1:31" ht="13.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spans="1:31" ht="13.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1" ht="13.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spans="1:31" ht="13.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spans="1:31" ht="13.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spans="1:31" ht="13.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spans="1:31" ht="13.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 spans="1:31" ht="13.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spans="1:31" ht="13.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spans="1:31" ht="13.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spans="1:31" ht="13.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spans="1:31" ht="13.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spans="1:31" ht="13.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spans="1:31" ht="13.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spans="1:31" ht="13.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spans="1:31" ht="13.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spans="1:31" ht="13.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spans="1:31" ht="13.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1:31" ht="13.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spans="1:31" ht="13.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spans="1:31" ht="13.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spans="1:31" ht="13.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spans="1:31" ht="13.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spans="1:31" ht="13.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spans="1:31" ht="13.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spans="1:31" ht="13.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spans="1:31" ht="13.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spans="1:31" ht="13.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spans="1:31" ht="13.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spans="1:31" ht="13.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spans="1:31" ht="13.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ht="13.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spans="1:31" ht="13.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spans="1:31" ht="13.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spans="1:31" ht="13.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spans="1:31" ht="13.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spans="1:31" ht="13.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1" ht="13.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1" ht="13.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spans="1:31" ht="13.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spans="1:31" ht="13.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spans="1:31" ht="13.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spans="1:31" ht="13.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spans="1:31" ht="13.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spans="1:31" ht="13.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spans="1:31" ht="13.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spans="1:31" ht="13.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spans="1:31" ht="13.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spans="1:31" ht="13.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1" ht="13.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spans="1:31" ht="13.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spans="1:31" ht="13.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spans="1:31" ht="13.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spans="1:31" ht="13.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spans="1:31" ht="13.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spans="1:31" ht="13.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spans="1:31" ht="13.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spans="1:31" ht="13.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spans="1:31" ht="13.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spans="1:31" ht="13.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 spans="1:31" ht="13.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spans="1:31" ht="13.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 spans="1:31" ht="13.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 spans="1:31" ht="13.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 spans="1:31" ht="13.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spans="1:31" ht="13.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 spans="1:31" ht="13.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spans="1:31" ht="13.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 spans="1:31" ht="13.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 spans="1:31" ht="13.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spans="1:31" ht="13.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 spans="1:31" ht="13.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spans="1:31" ht="13.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spans="1:31" ht="13.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spans="1:31" ht="13.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spans="1:31" ht="13.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spans="1:31" ht="13.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spans="1:31" ht="13.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spans="1:31" ht="13.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spans="1:31" ht="13.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spans="1:31" ht="13.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spans="1:31" ht="13.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spans="1:31" ht="13.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1:31" ht="13.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1:31" ht="13.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1:31" ht="13.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spans="1:31" ht="13.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1:31" ht="13.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1:31" ht="13.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1:31" ht="13.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spans="1:31" ht="13.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spans="1:31" ht="13.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1:31" ht="13.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1:31" ht="13.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spans="1:31" ht="13.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spans="1:31" ht="13.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1:31" ht="13.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1:31" ht="13.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spans="1:31" ht="13.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1:31" ht="13.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1:31" ht="13.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1:31" ht="13.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1:31" ht="13.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1:31" ht="13.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1:31" ht="13.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1:31" ht="13.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1:31" ht="13.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spans="1:31" ht="13.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spans="1:31" ht="13.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 spans="1:31" ht="13.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 spans="1:31" ht="13.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 spans="1:31" ht="13.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 spans="1:31" ht="13.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 spans="1:31" ht="13.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 spans="1:31" ht="13.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 spans="1:31" ht="13.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 spans="1:31" ht="13.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 spans="1:31" ht="13.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 spans="1:31" ht="13.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 spans="1:31" ht="13.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 spans="1:31" ht="13.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 spans="1:31" ht="13.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 spans="1:31" ht="13.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 spans="1:31" ht="13.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 spans="1:31" ht="13.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 spans="1:31" ht="13.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 spans="1:31" ht="13.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 spans="1:31" ht="13.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 spans="1:31" ht="13.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 spans="1:31" ht="13.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 spans="1:31" ht="13.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 spans="1:31" ht="13.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 spans="1:31" ht="13.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 spans="1:31" ht="13.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 spans="1:31" ht="13.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 spans="1:31" ht="13.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 spans="1:31" ht="13.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 spans="1:31" ht="13.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 spans="1:31" ht="13.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 spans="1:31" ht="13.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 spans="1:31" ht="13.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 spans="1:31" ht="13.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 spans="1:31" ht="13.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 spans="1:31" ht="13.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 spans="1:31" ht="13.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 spans="1:31" ht="13.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 spans="1:31" ht="13.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 spans="1:31" ht="13.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 spans="1:31" ht="13.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 spans="1:31" ht="13.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 spans="1:31" ht="13.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 spans="1:31" ht="13.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 spans="1:31" ht="13.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 spans="1:31" ht="13.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 spans="1:31" ht="13.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 spans="1:31" ht="13.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 spans="1:31" ht="13.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 spans="1:31" ht="13.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 spans="1:31" ht="13.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 spans="1:31" ht="13.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 spans="1:31" ht="13.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 spans="1:31" ht="13.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 spans="1:31" ht="13.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 spans="1:31" ht="13.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 spans="1:31" ht="13.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 spans="1:31" ht="13.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 spans="1:31" ht="13.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 spans="1:31" ht="13.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 spans="1:31" ht="13.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 spans="1:31" ht="13.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 spans="1:31" ht="13.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 spans="1:31" ht="13.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 spans="1:31" ht="13.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 spans="1:31" ht="13.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 spans="1:31" ht="13.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 spans="1:31" ht="13.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 spans="1:31" ht="13.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 spans="1:31" ht="13.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 spans="1:31" ht="13.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 spans="1:31" ht="13.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 spans="1:31" ht="13.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 spans="1:31" ht="13.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 spans="1:31" ht="13.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 spans="1:31" ht="13.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 spans="1:31" ht="13.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 spans="1:31" ht="13.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 spans="1:31" ht="13.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 spans="1:31" ht="13.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 spans="1:31" ht="13.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 spans="1:31" ht="13.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 spans="1:31" ht="13.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 spans="1:31" ht="13.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 spans="1:31" ht="13.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 spans="1:31" ht="13.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 spans="1:31" ht="13.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 spans="1:31" ht="13.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 spans="1:31" ht="13.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 spans="1:31" ht="13.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 spans="1:31" ht="13.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 spans="1:31" ht="13.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 spans="1:31" ht="13.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 spans="1:31" ht="13.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 spans="1:31" ht="13.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 spans="1:31" ht="13.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 spans="1:31" ht="13.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 spans="1:31" ht="13.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 spans="1:31" ht="13.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 spans="1:31" ht="13.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 spans="1:31" ht="13.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 spans="1:31" ht="13.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 spans="1:31" ht="13.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 spans="1:31" ht="13.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 spans="1:31" ht="13.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 spans="1:31" ht="13.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 spans="1:31" ht="13.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 spans="1:31" ht="13.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 spans="1:31" ht="13.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 spans="1:31" ht="13.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 spans="1:31" ht="13.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 spans="1:31" ht="13.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 spans="1:31" ht="13.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 spans="1:31" ht="13.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 spans="1:31" ht="13.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 spans="1:31" ht="13.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 spans="1:31" ht="13.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 spans="1:31" ht="13.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 spans="1:31" ht="13.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 spans="1:31" ht="13.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 spans="1:31" ht="13.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 spans="1:31" ht="13.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 spans="1:31" ht="13.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 spans="1:31" ht="13.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 spans="1:31" ht="13.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 spans="1:31" ht="13.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 spans="1:31" ht="13.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 spans="1:31" ht="13.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 spans="1:31" ht="13.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 spans="1:31" ht="13.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 spans="1:31" ht="13.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 spans="1:31" ht="13.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 spans="1:31" ht="13.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 spans="1:31" ht="13.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 spans="1:31" ht="13.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 spans="1:31" ht="13.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 spans="1:31" ht="13.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 spans="1:31" ht="13.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 spans="1:31" ht="13.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 spans="1:31" ht="13.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 spans="1:31" ht="13.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 spans="1:31" ht="13.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 spans="1:31" ht="13.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 spans="1:31" ht="13.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 spans="1:31" ht="13.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 spans="1:31" ht="13.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 spans="1:31" ht="13.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 spans="1:31" ht="13.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 spans="1:31" ht="13.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 spans="1:31" ht="13.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 spans="1:31" ht="13.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 spans="1:31" ht="13.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 spans="1:31" ht="13.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 spans="1:31" ht="13.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 spans="1:31" ht="13.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 spans="1:31" ht="13.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 spans="1:31" ht="13.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 spans="1:31" ht="13.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 spans="1:31" ht="13.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 spans="1:31" ht="13.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 spans="1:31" ht="13.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 spans="1:31" ht="13.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 spans="1:31" ht="13.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 spans="1:31" ht="13.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 spans="1:31" ht="13.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 spans="1:31" ht="13.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 spans="1:31" ht="13.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 spans="1:31" ht="13.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 spans="1:31" ht="13.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 spans="1:31" ht="13.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 spans="1:31" ht="13.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 spans="1:31" ht="13.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 spans="1:31" ht="13.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 spans="1:31" ht="13.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 spans="1:31" ht="13.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 spans="1:31" ht="13.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 spans="1:31" ht="13.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 spans="1:31" ht="13.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 spans="1:31" ht="13.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 spans="1:31" ht="13.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 spans="1:31" ht="13.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 spans="1:31" ht="13.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 spans="1:31" ht="13.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 spans="1:31" ht="13.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 spans="1:31" ht="13.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 spans="1:31" ht="13.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 spans="1:31" ht="13.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 spans="1:31" ht="13.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 spans="1:31" ht="13.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 spans="1:31" ht="13.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 spans="1:31" ht="13.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 spans="1:31" ht="13.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 spans="1:31" ht="13.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 spans="1:31" ht="13.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 spans="1:31" ht="13.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 spans="1:31" ht="13.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 spans="1:31" ht="13.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 spans="1:31" ht="13.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 spans="1:31" ht="13.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 spans="1:31" ht="13.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 spans="1:31" ht="13.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 spans="1:31" ht="13.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 spans="1:31" ht="13.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 spans="1:31" ht="13.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 spans="1:31" ht="13.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 spans="1:31" ht="13.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 spans="1:31" ht="13.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 spans="1:31" ht="13.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 spans="1:31" ht="13.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 spans="1:31" ht="13.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 spans="1:31" ht="13.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 spans="1:31" ht="13.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 spans="1:31" ht="13.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 spans="1:31" ht="13.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 spans="1:31" ht="13.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 spans="1:31" ht="13.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 spans="1:31" ht="13.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 spans="1:31" ht="13.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 spans="1:31" ht="13.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 spans="1:31" ht="13.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 spans="1:31" ht="13.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 spans="1:31" ht="13.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 spans="1:31" ht="13.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 spans="1:31" ht="13.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 spans="1:31" ht="13.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 spans="1:31" ht="13.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 spans="1:31" ht="13.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 spans="1:31" ht="13.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 spans="1:31" ht="13.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 spans="1:31" ht="13.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 spans="1:31" ht="13.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 spans="1:31" ht="13.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 spans="1:31" ht="13.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 spans="1:31" ht="13.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 spans="1:31" ht="13.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 spans="1:31" ht="13.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 spans="1:31" ht="13.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 spans="1:31" ht="13.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 spans="1:31" ht="13.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 spans="1:31" ht="13.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 spans="1:31" ht="13.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 spans="1:31" ht="13.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 spans="1:31" ht="13.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 spans="1:31" ht="13.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 spans="1:31" ht="13.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 spans="1:31" ht="13.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 spans="1:31" ht="13.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 spans="1:31" ht="13.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 spans="1:31" ht="13.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 spans="1:31" ht="13.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 spans="1:31" ht="13.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 spans="1:31" ht="13.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 spans="1:31" ht="13.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 spans="1:31" ht="13.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 spans="1:31" ht="13.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 spans="1:31" ht="13.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 spans="1:31" ht="13.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 spans="1:31" ht="13.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 spans="1:31" ht="13.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 spans="1:31" ht="13.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 spans="1:31" ht="13.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 spans="1:31" ht="13.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 spans="1:31" ht="13.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 spans="1:31" ht="13.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 spans="1:31" ht="13.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 spans="1:31" ht="13.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 spans="1:31" ht="13.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 spans="1:31" ht="13.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 spans="1:31" ht="13.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 spans="1:31" ht="13.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 spans="1:31" ht="13.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 spans="1:31" ht="13.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 spans="1:31" ht="13.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 spans="1:31" ht="13.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 spans="1:31" ht="13.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 spans="1:31" ht="13.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 spans="1:31" ht="13.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 spans="1:31" ht="13.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 spans="1:31" ht="13.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 spans="1:31" ht="13.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 spans="1:31" ht="13.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 spans="1:31" ht="13.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 spans="1:31" ht="13.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 spans="1:31" ht="13.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 spans="1:31" ht="13.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 spans="1:31" ht="13.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 spans="1:31" ht="13.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 spans="1:31" ht="13.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 spans="1:31" ht="13.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 spans="1:31" ht="13.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 spans="1:31" ht="13.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 spans="1:31" ht="13.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 spans="1:31" ht="13.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 spans="1:31" ht="13.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 spans="1:31" ht="13.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 spans="1:31" ht="13.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 spans="1:31" ht="13.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 spans="1:31" ht="13.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 spans="1:31" ht="13.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 spans="1:31" ht="13.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 spans="1:31" ht="13.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 spans="1:31" ht="13.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 spans="1:31" ht="13.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 spans="1:31" ht="13.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 spans="1:31" ht="13.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 spans="1:31" ht="13.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 spans="1:31" ht="13.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 spans="1:31" ht="13.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 spans="1:31" ht="13.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 spans="1:31" ht="13.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 spans="1:31" ht="13.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 spans="1:31" ht="13.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 spans="1:31" ht="13.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 spans="1:31" ht="13.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 spans="1:31" ht="13.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 spans="1:31" ht="13.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 spans="1:31" ht="13.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 spans="1:31" ht="13.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 spans="1:31" ht="13.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 spans="1:31" ht="13.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 spans="1:31" ht="13.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 spans="1:31" ht="13.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 spans="1:31" ht="13.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 spans="1:31" ht="13.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 spans="1:31" ht="13.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 spans="1:31" ht="13.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 spans="1:31" ht="13.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 spans="1:31" ht="13.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 spans="1:31" ht="13.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 spans="1:31" ht="13.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 spans="1:31" ht="13.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 spans="1:31" ht="13.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 spans="1:31" ht="13.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 spans="1:31" ht="13.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 spans="1:31" ht="13.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 spans="1:31" ht="13.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 spans="1:31" ht="13.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 spans="1:31" ht="13.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 spans="1:31" ht="13.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 spans="1:31" ht="13.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 spans="1:31" ht="13.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 spans="1:31" ht="13.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 spans="1:31" ht="13.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 spans="1:31" ht="13.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 spans="1:31" ht="13.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 spans="1:31" ht="13.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 spans="1:31" ht="13.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 spans="1:31" ht="13.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 spans="1:31" ht="13.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 spans="1:31" ht="13.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 spans="1:31" ht="13.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 spans="1:31" ht="13.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 spans="1:31" ht="13.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 spans="1:31" ht="13.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 spans="1:31" ht="13.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 spans="1:31" ht="13.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 spans="1:31" ht="13.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 spans="1:31" ht="13.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 spans="1:31" ht="13.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 spans="1:31" ht="13.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 spans="1:31" ht="13.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 spans="1:31" ht="13.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 spans="1:31" ht="13.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 spans="1:31" ht="13.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 spans="1:31" ht="13.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 spans="1:31" ht="13.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 spans="1:31" ht="13.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 spans="1:31" ht="13.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 spans="1:31" ht="13.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 spans="1:31" ht="13.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 spans="1:31" ht="13.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 spans="1:31" ht="13.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 spans="1:31" ht="13.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 spans="1:31" ht="13.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 spans="1:31" ht="13.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 spans="1:31" ht="13.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 spans="1:31" ht="13.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 spans="1:31" ht="13.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 spans="1:31" ht="13.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 spans="1:31" ht="13.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 spans="1:31" ht="13.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 spans="1:31" ht="13.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 spans="1:31" ht="13.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 spans="1:31" ht="13.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 spans="1:31" ht="13.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 spans="1:31" ht="13.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 spans="1:31" ht="13.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 spans="1:31" ht="13.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 spans="1:31" ht="13.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 spans="1:31" ht="13.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 spans="1:31" ht="13.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 spans="1:31" ht="13.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 spans="1:31" ht="13.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 spans="1:31" ht="13.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 spans="1:31" ht="13.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 spans="1:31" ht="13.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 spans="1:31" ht="13.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 spans="1:31" ht="13.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 spans="1:31" ht="13.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 spans="1:31" ht="13.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 spans="1:31" ht="13.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 spans="1:31" ht="13.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 spans="1:31" ht="13.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 spans="1:31" ht="13.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 spans="1:31" ht="13.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 spans="1:31" ht="13.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 spans="1:31" ht="13.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 spans="1:31" ht="13.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 spans="1:31" ht="13.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 spans="1:31" ht="13.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 spans="1:31" ht="13.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 spans="1:31" ht="13.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 spans="1:31" ht="13.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 spans="1:31" ht="13.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 spans="1:31" ht="13.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 spans="1:31" ht="13.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 spans="1:31" ht="13.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 spans="1:31" ht="13.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 spans="1:31" ht="13.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 spans="1:31" ht="13.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 spans="1:31" ht="13.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 spans="1:31" ht="13.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 spans="1:31" ht="13.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 spans="1:31" ht="13.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 spans="1:31" ht="13.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 spans="1:31" ht="13.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 spans="1:31" ht="13.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 spans="1:31" ht="13.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 spans="1:31" ht="13.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 spans="1:31" ht="13.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 spans="1:31" ht="13.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 spans="1:31" ht="13.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 spans="1:31" ht="13.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 spans="1:31" ht="13.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 spans="1:31" ht="13.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 spans="1:31" ht="13.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 spans="1:31" ht="13.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 spans="1:31" ht="13.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 spans="1:31" ht="13.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 spans="1:31" ht="13.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 spans="1:31" ht="13.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 spans="1:31" ht="13.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 spans="1:31" ht="13.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 spans="1:31" ht="13.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 spans="1:31" ht="13.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 spans="1:31" ht="13.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 spans="1:31" ht="13.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 spans="1:31" ht="13.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 spans="1:31" ht="13.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 spans="1:31" ht="13.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 spans="1:31" ht="13.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 spans="1:31" ht="13.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 spans="1:31" ht="13.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 spans="1:31" ht="13.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 spans="1:31" ht="13.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 spans="1:31" ht="13.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 spans="1:31" ht="13.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 spans="1:31" ht="13.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 spans="1:31" ht="13.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 spans="1:31" ht="13.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 spans="1:31" ht="13.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 spans="1:31" ht="13.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 spans="1:31" ht="13.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 spans="1:31" ht="13.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 spans="1:31" ht="13.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 spans="1:31" ht="13.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 spans="1:31" ht="13.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 spans="1:31" ht="13.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 spans="1:31" ht="13.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 spans="1:31" ht="13.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 spans="1:31" ht="13.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 spans="1:31" ht="13.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 spans="1:31" ht="13.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 spans="1:31" ht="13.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 spans="1:31" ht="13.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 spans="1:31" ht="13.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 spans="1:31" ht="13.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 spans="1:31" ht="13.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 spans="1:31" ht="13.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 spans="1:31" ht="13.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 spans="1:31" ht="13.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 spans="1:31" ht="13.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 spans="1:31" ht="13.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 spans="1:31" ht="13.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 spans="1:31" ht="13.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 spans="1:31" ht="13.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 spans="1:31" ht="13.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 spans="1:31" ht="13.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 spans="1:31" ht="13.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 spans="1:31" ht="13.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 spans="1:31" ht="13.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 spans="1:31" ht="13.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 spans="1:31" ht="13.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 spans="1:31" ht="13.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 spans="1:31" ht="13.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 spans="1:31" ht="13.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 spans="1:31" ht="13.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 spans="1:31" ht="13.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 spans="1:31" ht="13.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 spans="1:31" ht="13.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 spans="1:31" ht="13.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 spans="1:31" ht="13.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 spans="1:31" ht="13.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 spans="1:31" ht="13.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 spans="1:31" ht="13.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 spans="1:31" ht="13.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 spans="1:31" ht="13.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 spans="1:31" ht="13.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 spans="1:31" ht="13.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 spans="1:31" ht="13.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 spans="1:31" ht="13.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 spans="1:31" ht="13.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 spans="1:31" ht="13.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 spans="1:31" ht="13.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 spans="1:31" ht="13.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 spans="1:31" ht="13.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 spans="1:31" ht="13.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 spans="1:31" ht="13.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 spans="1:31" ht="13.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 spans="1:31" ht="13.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 spans="1:31" ht="13.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 spans="1:31" ht="13.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 spans="1:31" ht="13.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 spans="1:31" ht="13.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 spans="1:31" ht="13.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 spans="1:31" ht="13.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 spans="1:31" ht="13.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 spans="1:31" ht="13.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 spans="1:31" ht="13.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 spans="1:31" ht="13.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 spans="1:31" ht="13.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 spans="1:31" ht="13.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 spans="1:31" ht="13.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 spans="1:31" ht="13.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 spans="1:31" ht="13.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 spans="1:31" ht="13.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 spans="1:31" ht="13.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 spans="1:31" ht="13.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 spans="1:31" ht="13.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 spans="1:31" ht="13.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 spans="1:31" ht="13.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 spans="1:31" ht="13.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 spans="1:31" ht="13.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 spans="1:31" ht="13.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 spans="1:31" ht="13.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 spans="1:31" ht="13.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 spans="1:31" ht="13.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 spans="1:31" ht="13.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 spans="1:31" ht="13.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 spans="1:31" ht="13.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 spans="1:31" ht="13.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 spans="1:31" ht="13.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 spans="1:31" ht="13.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 spans="1:31" ht="13.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 spans="1:31" ht="13.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 spans="1:31" ht="13.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 spans="1:31" ht="13.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 spans="1:31" ht="13.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 spans="1:31" ht="13.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 spans="1:31" ht="13.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 spans="1:31" ht="13.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 spans="1:31" ht="13.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 spans="1:31" ht="13.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 spans="1:31" ht="13.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 spans="1:31" ht="13.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 spans="1:31" ht="13.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 spans="1:31" ht="13.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 spans="1:31" ht="13.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 spans="1:31" ht="13.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 spans="1:31" ht="13.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 spans="1:31" ht="13.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 spans="1:31" ht="13.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 spans="1:31" ht="13.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 spans="1:31" ht="13.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 spans="1:31" ht="13.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 spans="1:31" ht="13.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 spans="1:31" ht="13.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 spans="1:31" ht="13.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 spans="1:31" ht="13.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 spans="1:31" ht="13.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 spans="1:31" ht="13.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 spans="1:31" ht="13.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 spans="1:31" ht="13.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 spans="1:31" ht="13.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 spans="1:31" ht="13.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 spans="1:31" ht="13.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 spans="1:31" ht="13.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 spans="1:31" ht="13.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 spans="1:31" ht="13.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 spans="1:31" ht="13.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 spans="1:31" ht="13.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 spans="1:31" ht="13.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 spans="1:31" ht="13.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 spans="1:31" ht="13.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 spans="1:31" ht="13.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 spans="1:31" ht="13.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 spans="1:31" ht="13.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 spans="1:31" ht="13.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 spans="1:31" ht="13.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 spans="1:31" ht="13.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 spans="1:31" ht="13.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 spans="1:31" ht="13.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 spans="1:31" ht="13.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 spans="1:31" ht="13.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 spans="1:31" ht="13.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 spans="1:31" ht="13.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 spans="1:31" ht="13.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 spans="1:31" ht="13.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 spans="1:31" ht="13.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 spans="1:31" ht="13.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 spans="1:31" ht="13.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 spans="1:31" ht="13.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 spans="1:31" ht="13.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 spans="1:31" ht="13.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 spans="1:31" ht="13.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 spans="1:31" ht="13.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 spans="1:31" ht="13.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 spans="1:31" ht="13.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 spans="1:31" ht="13.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 spans="1:31" ht="13.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 spans="1:31" ht="13.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 spans="1:31" ht="13.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 spans="1:31" ht="13.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 spans="1:31" ht="13.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 spans="1:31" ht="13.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 spans="1:31" ht="13.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 spans="1:31" ht="13.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 spans="1:31" ht="13.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 spans="1:31" ht="13.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 spans="1:31" ht="13.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 spans="1:31" ht="13.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 spans="1:31" ht="13.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 spans="1:31" ht="13.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 spans="1:31" ht="13.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 spans="1:31" ht="13.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 spans="1:31" ht="13.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 spans="1:31" ht="13.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 spans="1:31" ht="13.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 spans="1:31" ht="13.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 spans="1:31" ht="13.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 spans="1:31" ht="13.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 spans="1:31" ht="13.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 spans="1:31" ht="13.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 spans="1:31" ht="13.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 spans="1:31" ht="13.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 spans="1:31" ht="13.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 spans="1:31" ht="13.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 spans="1:31" ht="13.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 spans="1:31" ht="13.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 spans="1:31" ht="13.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 spans="1:31" ht="13.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 spans="1:31" ht="13.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 spans="1:31" ht="13.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 spans="1:31" ht="13.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 spans="1:31" ht="13.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 spans="1:31" ht="13.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 spans="1:31" ht="13.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 spans="1:31" ht="13.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 spans="1:31" ht="13.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 spans="1:31" ht="13.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 spans="1:31" ht="13.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 spans="1:31" ht="13.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 spans="1:31" ht="13.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 spans="1:31" ht="13.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 spans="1:31" ht="13.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 spans="1:31" ht="13.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 spans="1:31" ht="13.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 spans="1:31" ht="13.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 spans="1:31" ht="13.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 spans="1:31" ht="13.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 spans="1:31" ht="13.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 spans="1:31" ht="13.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 spans="1:31" ht="13.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 spans="1:31" ht="13.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 spans="1:31" ht="13.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 spans="1:31" ht="13.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 spans="1:31" ht="13.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 spans="1:31" ht="13.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 spans="1:31" ht="13.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 spans="1:31" ht="13.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 spans="1:31" ht="13.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 spans="1:31" ht="13.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 spans="1:31" ht="13.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 spans="1:31" ht="13.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 spans="1:31" ht="13.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 spans="1:31" ht="13.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 spans="1:31" ht="13.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 spans="1:31" ht="13.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 spans="1:31" ht="13.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 spans="1:31" ht="13.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 spans="1:31" ht="13.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 spans="1:31" ht="13.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 spans="1:31" ht="13.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 spans="1:31" ht="13.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 spans="1:31" ht="13.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 spans="1:31" ht="13.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 spans="1:31" ht="13.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 spans="1:31" ht="13.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 spans="1:31" ht="13.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 spans="1:31" ht="13.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 spans="1:31" ht="13.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 spans="1:31" ht="13.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 spans="1:31" ht="13.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 spans="1:31" ht="13.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 spans="1:31" ht="13.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 spans="1:31" ht="13.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 spans="1:31" ht="13.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 spans="1:31" ht="13.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 spans="1:31" ht="13.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 spans="1:31" ht="13.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 spans="1:31" ht="13.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 spans="1:31" ht="13.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 spans="1:31" ht="13.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 spans="1:31" ht="13.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 spans="1:31" ht="13.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 spans="1:31" ht="13.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 spans="1:31" ht="13.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 spans="1:31" ht="13.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spans="1:31" ht="13.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spans="1:31" ht="13.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spans="1:31" ht="13.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spans="1:31" ht="13.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 spans="1:31" ht="13.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 spans="1:31" ht="13.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spans="1:31" ht="13.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 spans="1:31" ht="13.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 spans="1:31" ht="13.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 spans="1:31" ht="13.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 spans="1:31" ht="13.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 spans="1:31" ht="13.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 spans="1:31" ht="13.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 spans="1:31" ht="13.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 spans="1:31" ht="13.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 spans="1:31" ht="13.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 spans="1:31" ht="13.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 spans="1:31" ht="13.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 spans="1:31" ht="13.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 spans="1:31" ht="13.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 spans="1:31" ht="13.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 spans="1:31" ht="13.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 spans="1:31" ht="13.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 spans="1:31" ht="13.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 spans="1:31" ht="13.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spans="1:31" ht="13.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spans="1:31" ht="13.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spans="1:31" ht="13.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spans="1:31" ht="13.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 spans="1:31" ht="13.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 spans="1:31" ht="13.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spans="1:31" ht="13.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 spans="1:31" ht="13.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 spans="1:31" ht="13.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 spans="1:31" ht="13.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 spans="1:31" ht="13.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 spans="1:31" ht="13.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 spans="1:31" ht="13.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 spans="1:31" ht="13.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 spans="1:31" ht="13.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 spans="1:31" ht="13.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 spans="1:31" ht="13.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 spans="1:31" ht="13.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 spans="1:31" ht="13.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 spans="1:31" ht="13.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 spans="1:31" ht="13.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 spans="1:31" ht="13.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 spans="1:31" ht="13.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 spans="1:31" ht="13.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 spans="1:31" ht="13.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 spans="1:31" ht="13.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 spans="1:31" ht="13.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 spans="1:31" ht="13.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 spans="1:31" ht="13.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 spans="1:31" ht="13.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 spans="1:31" ht="13.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 spans="1:31" ht="13.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 spans="1:31" ht="13.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 spans="1:31" ht="13.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 spans="1:31" ht="13.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 spans="1:31" ht="13.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 spans="1:31" ht="13.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spans="1:31" ht="13.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spans="1:31" ht="13.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spans="1:31" ht="13.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spans="1:31" ht="13.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spans="1:31" ht="13.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 spans="1:31" ht="13.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spans="1:31" ht="13.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 spans="1:31" ht="13.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 spans="1:31" ht="13.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 spans="1:31" ht="13.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 spans="1:31" ht="13.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 spans="1:31" ht="13.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 spans="1:31" ht="13.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 spans="1:31" ht="13.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 spans="1:31" ht="13.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 spans="1:31" ht="13.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 spans="1:31" ht="13.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 spans="1:31" ht="13.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autoFilter ref="A2:AE12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Pandey</dc:creator>
  <cp:lastModifiedBy>auto</cp:lastModifiedBy>
  <dcterms:created xsi:type="dcterms:W3CDTF">2025-08-04T08:13:08Z</dcterms:created>
  <dcterms:modified xsi:type="dcterms:W3CDTF">2025-12-15T14:37:52Z</dcterms:modified>
</cp:coreProperties>
</file>